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ks" sheetId="1" state="visible" r:id="rId1"/>
    <sheet name="ImpliedVol" sheetId="2" state="visible" r:id="rId2"/>
    <sheet name="PnL At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b val="1"/>
    </font>
    <font/>
    <font>
      <color rgb="000563C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</cols>
  <sheetData>
    <row r="1" ht="28" customHeight="1">
      <c r="A1" s="1" t="inlineStr">
        <is>
          <t>DeskPricer Demo — Bitcoin European Call (3M)</t>
        </is>
      </c>
    </row>
    <row r="3">
      <c r="A3" s="2" t="inlineStr">
        <is>
          <t>Inputs</t>
        </is>
      </c>
    </row>
    <row r="4">
      <c r="A4" s="3" t="inlineStr">
        <is>
          <t>Spot (s)</t>
        </is>
      </c>
      <c r="B4" s="4" t="n">
        <v>75000</v>
      </c>
    </row>
    <row r="5">
      <c r="A5" s="3" t="inlineStr">
        <is>
          <t>Strike (k)</t>
        </is>
      </c>
      <c r="B5" s="4" t="n">
        <v>100000</v>
      </c>
    </row>
    <row r="6">
      <c r="A6" s="3" t="inlineStr">
        <is>
          <t>Time to expiry (t)</t>
        </is>
      </c>
      <c r="B6" s="4" t="n">
        <v>0.25</v>
      </c>
    </row>
    <row r="7">
      <c r="A7" s="3" t="inlineStr">
        <is>
          <t>Risk-free rate (r)</t>
        </is>
      </c>
      <c r="B7" s="4" t="n">
        <v>0.0365</v>
      </c>
    </row>
    <row r="8">
      <c r="A8" s="3" t="inlineStr">
        <is>
          <t>Dividend yield (q)</t>
        </is>
      </c>
      <c r="B8" s="4" t="n">
        <v>0</v>
      </c>
    </row>
    <row r="9">
      <c r="A9" s="3" t="inlineStr">
        <is>
          <t>Volatility (v)</t>
        </is>
      </c>
      <c r="B9" s="4" t="n">
        <v>0.5</v>
      </c>
    </row>
    <row r="10">
      <c r="A10" s="3" t="inlineStr">
        <is>
          <t>Type</t>
        </is>
      </c>
      <c r="B10" s="4" t="inlineStr">
        <is>
          <t>call</t>
        </is>
      </c>
    </row>
    <row r="11">
      <c r="A11" s="3" t="inlineStr">
        <is>
          <t>Style</t>
        </is>
      </c>
      <c r="B11" s="4" t="inlineStr">
        <is>
          <t>european</t>
        </is>
      </c>
    </row>
    <row r="13">
      <c r="A13" s="3" t="inlineStr">
        <is>
          <t>Service URL</t>
        </is>
      </c>
      <c r="B13" s="5" t="inlineStr">
        <is>
          <t>http://127.0.0.1:8765/v1/greeks?s=75000&amp;k=100000&amp;t=0.25&amp;r=0.0365&amp;q=0&amp;v=0.5&amp;type=call&amp;style=european</t>
        </is>
      </c>
    </row>
    <row r="14">
      <c r="A14" s="3" t="inlineStr">
        <is>
          <t>Raw XML</t>
        </is>
      </c>
      <c r="B14" s="5">
        <f>WEBSERVICE(B13)</f>
        <v/>
      </c>
    </row>
    <row r="16">
      <c r="A16" s="6" t="inlineStr">
        <is>
          <t>Outputs</t>
        </is>
      </c>
    </row>
    <row r="17">
      <c r="A17" s="3" t="inlineStr">
        <is>
          <t>Price</t>
        </is>
      </c>
      <c r="B17" s="5">
        <f>VALUE(FILTERXML($B$14,"//outputs/price"))</f>
        <v/>
      </c>
      <c r="C17" s="7" t="n">
        <v>1423.850543081</v>
      </c>
      <c r="D17" s="7" t="inlineStr">
        <is>
          <t>Expected</t>
        </is>
      </c>
    </row>
    <row r="18">
      <c r="A18" s="3" t="inlineStr">
        <is>
          <t>Delta</t>
        </is>
      </c>
      <c r="B18" s="5">
        <f>VALUE(FILTERXML($B$14,"//outputs/delta"))</f>
        <v/>
      </c>
      <c r="C18" s="7" t="n">
        <v>0.160835646</v>
      </c>
      <c r="D18" s="7" t="inlineStr">
        <is>
          <t>Expected</t>
        </is>
      </c>
    </row>
    <row r="19">
      <c r="A19" s="3" t="inlineStr">
        <is>
          <t>Gamma</t>
        </is>
      </c>
      <c r="B19" s="5">
        <f>VALUE(FILTERXML($B$14,"//outputs/gamma"))</f>
        <v/>
      </c>
      <c r="C19" s="7" t="n">
        <v>1.3039e-05</v>
      </c>
      <c r="D19" s="7" t="inlineStr">
        <is>
          <t>Expected</t>
        </is>
      </c>
    </row>
    <row r="20">
      <c r="A20" s="3" t="inlineStr">
        <is>
          <t>Vega</t>
        </is>
      </c>
      <c r="B20" s="5">
        <f>VALUE(FILTERXML($B$14,"//outputs/vega"))</f>
        <v/>
      </c>
      <c r="C20" s="7" t="n">
        <v>91.427494809</v>
      </c>
      <c r="D20" s="7" t="inlineStr">
        <is>
          <t>Expected</t>
        </is>
      </c>
    </row>
    <row r="21">
      <c r="A21" s="3" t="inlineStr">
        <is>
          <t>Theta</t>
        </is>
      </c>
      <c r="B21" s="5">
        <f>VALUE(FILTERXML($B$14,"//outputs/theta"))</f>
        <v/>
      </c>
      <c r="C21" s="7" t="n">
        <v>-26.181325921</v>
      </c>
      <c r="D21" s="7" t="inlineStr">
        <is>
          <t>Expected</t>
        </is>
      </c>
    </row>
    <row r="22">
      <c r="A22" s="3" t="inlineStr">
        <is>
          <t>Rho</t>
        </is>
      </c>
      <c r="B22" s="5">
        <f>VALUE(FILTERXML($B$14,"//outputs/rho"))</f>
        <v/>
      </c>
      <c r="C22" s="7" t="n">
        <v>26.524188656</v>
      </c>
      <c r="D22" s="7" t="inlineStr">
        <is>
          <t>Expected</t>
        </is>
      </c>
    </row>
    <row r="23">
      <c r="A23" s="3" t="inlineStr">
        <is>
          <t>Charm</t>
        </is>
      </c>
      <c r="B23" s="5">
        <f>VALUE(FILTERXML($B$14,"//outputs/charm"))</f>
        <v/>
      </c>
      <c r="C23" s="7" t="n">
        <v>-0.001769148</v>
      </c>
      <c r="D23" s="7" t="inlineStr">
        <is>
          <t>Expected</t>
        </is>
      </c>
    </row>
    <row r="25">
      <c r="A25" s="7" t="inlineStr">
        <is>
          <t>Note: Ensure DeskPricer is running on 127.0.0.1:8765 before opening this file.</t>
        </is>
      </c>
    </row>
  </sheetData>
  <mergeCells count="4">
    <mergeCell ref="A1:D1"/>
    <mergeCell ref="A25:D25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</cols>
  <sheetData>
    <row r="1" ht="28" customHeight="1">
      <c r="A1" s="1" t="inlineStr">
        <is>
          <t>DeskPricer Demo — Implied Volatility Solver</t>
        </is>
      </c>
    </row>
    <row r="3">
      <c r="A3" s="6" t="inlineStr">
        <is>
          <t>Inputs</t>
        </is>
      </c>
    </row>
    <row r="4">
      <c r="A4" s="3" t="inlineStr">
        <is>
          <t>Spot (s)</t>
        </is>
      </c>
      <c r="B4" s="4" t="n">
        <v>75000</v>
      </c>
    </row>
    <row r="5">
      <c r="A5" s="3" t="inlineStr">
        <is>
          <t>Strike (k)</t>
        </is>
      </c>
      <c r="B5" s="4" t="n">
        <v>100000</v>
      </c>
    </row>
    <row r="6">
      <c r="A6" s="3" t="inlineStr">
        <is>
          <t>Time to expiry (t)</t>
        </is>
      </c>
      <c r="B6" s="4" t="n">
        <v>0.25</v>
      </c>
    </row>
    <row r="7">
      <c r="A7" s="3" t="inlineStr">
        <is>
          <t>Risk-free rate (r)</t>
        </is>
      </c>
      <c r="B7" s="4" t="n">
        <v>0.0365</v>
      </c>
    </row>
    <row r="8">
      <c r="A8" s="3" t="inlineStr">
        <is>
          <t>Dividend yield (q)</t>
        </is>
      </c>
      <c r="B8" s="4" t="n">
        <v>0</v>
      </c>
    </row>
    <row r="9">
      <c r="A9" s="3" t="inlineStr">
        <is>
          <t>Market Price</t>
        </is>
      </c>
      <c r="B9" s="4" t="n">
        <v>3398.71</v>
      </c>
    </row>
    <row r="10">
      <c r="A10" s="3" t="inlineStr">
        <is>
          <t>Type</t>
        </is>
      </c>
      <c r="B10" s="4" t="inlineStr">
        <is>
          <t>call</t>
        </is>
      </c>
    </row>
    <row r="11">
      <c r="A11" s="3" t="inlineStr">
        <is>
          <t>Style</t>
        </is>
      </c>
      <c r="B11" s="4" t="inlineStr">
        <is>
          <t>european</t>
        </is>
      </c>
    </row>
    <row r="13">
      <c r="A13" s="3" t="inlineStr">
        <is>
          <t>Service URL</t>
        </is>
      </c>
      <c r="B13" s="5" t="inlineStr">
        <is>
          <t>http://127.0.0.1:8765/v1/impliedvol?s=75000&amp;k=100000&amp;t=0.25&amp;r=0.0365&amp;q=0&amp;price=3398.71&amp;type=call&amp;style=european</t>
        </is>
      </c>
    </row>
    <row r="14">
      <c r="A14" s="3" t="inlineStr">
        <is>
          <t>Raw XML</t>
        </is>
      </c>
      <c r="B14" s="5">
        <f>WEBSERVICE(B13)</f>
        <v/>
      </c>
    </row>
    <row r="16">
      <c r="A16" s="6" t="inlineStr">
        <is>
          <t>Outputs</t>
        </is>
      </c>
    </row>
    <row r="17">
      <c r="A17" s="3" t="inlineStr">
        <is>
          <t>Implied Vol</t>
        </is>
      </c>
      <c r="B17" s="5">
        <f>VALUE(FILTERXML($B$14,"//outputs/implied_vol"))</f>
        <v/>
      </c>
      <c r="C17" s="7" t="n">
        <v>0.682835198</v>
      </c>
      <c r="D17" s="7" t="inlineStr">
        <is>
          <t>Expected</t>
        </is>
      </c>
    </row>
    <row r="18">
      <c r="A18" s="3" t="inlineStr">
        <is>
          <t>NPV @ IV</t>
        </is>
      </c>
      <c r="B18" s="5">
        <f>VALUE(FILTERXML($B$14,"//outputs/npv_at_iv"))</f>
        <v/>
      </c>
      <c r="C18" s="7" t="n">
        <v>3398.710167331</v>
      </c>
      <c r="D18" s="7" t="inlineStr">
        <is>
          <t>Expected</t>
        </is>
      </c>
    </row>
    <row r="20">
      <c r="A20" s="7" t="inlineStr">
        <is>
          <t>Note: Market price of 3398.71 implies ~68.3% annualized vol.</t>
        </is>
      </c>
    </row>
  </sheetData>
  <mergeCells count="4">
    <mergeCell ref="A1:D1"/>
    <mergeCell ref="A20:D20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28" customHeight="1">
      <c r="A1" s="1" t="inlineStr">
        <is>
          <t>DeskPricer Demo — PnL Attribution (t-1 → t)</t>
        </is>
      </c>
    </row>
    <row r="3">
      <c r="A3" s="6" t="inlineStr">
        <is>
          <t>t-1 Inputs</t>
        </is>
      </c>
      <c r="D3" s="6" t="inlineStr">
        <is>
          <t>t Inputs</t>
        </is>
      </c>
    </row>
    <row r="4">
      <c r="A4" s="3" t="inlineStr">
        <is>
          <t>Spot s_t_minus_1</t>
        </is>
      </c>
      <c r="B4" s="4" t="n">
        <v>75000</v>
      </c>
      <c r="D4" s="3" t="inlineStr">
        <is>
          <t>Spot s_t</t>
        </is>
      </c>
      <c r="E4" s="4" t="n">
        <v>80000</v>
      </c>
    </row>
    <row r="5">
      <c r="A5" s="3" t="inlineStr">
        <is>
          <t>Time t_t_minus_1</t>
        </is>
      </c>
      <c r="B5" s="4" t="n">
        <v>0.25</v>
      </c>
      <c r="D5" s="3" t="inlineStr">
        <is>
          <t>Time t_t</t>
        </is>
      </c>
      <c r="E5" s="4" t="n">
        <v>0.2466</v>
      </c>
    </row>
    <row r="6">
      <c r="A6" s="3" t="inlineStr">
        <is>
          <t>Rate r_t_minus_1</t>
        </is>
      </c>
      <c r="B6" s="4" t="n">
        <v>0.0365</v>
      </c>
      <c r="D6" s="3" t="inlineStr">
        <is>
          <t>Rate r_t</t>
        </is>
      </c>
      <c r="E6" s="4" t="n">
        <v>0.0365</v>
      </c>
    </row>
    <row r="7">
      <c r="A7" s="3" t="inlineStr">
        <is>
          <t>Div q_t_minus_1</t>
        </is>
      </c>
      <c r="B7" s="4" t="n">
        <v>0</v>
      </c>
      <c r="D7" s="3" t="inlineStr">
        <is>
          <t>Div q_t</t>
        </is>
      </c>
      <c r="E7" s="4" t="n">
        <v>0</v>
      </c>
    </row>
    <row r="8">
      <c r="A8" s="3" t="inlineStr">
        <is>
          <t>Vol v_t_minus_1</t>
        </is>
      </c>
      <c r="B8" s="4" t="n">
        <v>0.5</v>
      </c>
      <c r="D8" s="3" t="inlineStr">
        <is>
          <t>Vol v_t</t>
        </is>
      </c>
      <c r="E8" s="4" t="n">
        <v>0.55</v>
      </c>
    </row>
    <row r="10">
      <c r="A10" s="3" t="inlineStr">
        <is>
          <t>Strike (k)</t>
        </is>
      </c>
      <c r="B10" s="4" t="n">
        <v>100000</v>
      </c>
      <c r="D10" s="3" t="inlineStr">
        <is>
          <t>Quantity</t>
        </is>
      </c>
      <c r="E10" s="4" t="n">
        <v>1</v>
      </c>
    </row>
    <row r="11">
      <c r="A11" s="3" t="inlineStr">
        <is>
          <t>Type</t>
        </is>
      </c>
      <c r="B11" s="4" t="inlineStr">
        <is>
          <t>call</t>
        </is>
      </c>
      <c r="D11" s="3" t="inlineStr">
        <is>
          <t>Style</t>
        </is>
      </c>
      <c r="E11" s="4" t="inlineStr">
        <is>
          <t>european</t>
        </is>
      </c>
    </row>
    <row r="13">
      <c r="A13" s="3" t="inlineStr">
        <is>
          <t>Service URL</t>
        </is>
      </c>
      <c r="B13" s="5" t="inlineStr">
        <is>
          <t>http://127.0.0.1:8765/v1/pnl_attribution?s_t_minus_1=75000&amp;s_t=80000&amp;k=100000&amp;t_t_minus_1=0.25&amp;t_t=0.2466&amp;r_t_minus_1=0.0365&amp;r_t=0.0365&amp;q_t_minus_1=0&amp;q_t=0&amp;v_t_minus_1=0.5&amp;v_t=0.55&amp;type=call&amp;style=european&amp;qty=1</t>
        </is>
      </c>
    </row>
    <row r="14">
      <c r="A14" s="3" t="inlineStr">
        <is>
          <t>Raw XML</t>
        </is>
      </c>
      <c r="B14" s="5">
        <f>WEBSERVICE(B13)</f>
        <v/>
      </c>
    </row>
    <row r="16">
      <c r="A16" s="6" t="inlineStr">
        <is>
          <t>Outputs</t>
        </is>
      </c>
    </row>
    <row r="17">
      <c r="A17" s="3" t="inlineStr">
        <is>
          <t>Price t-1</t>
        </is>
      </c>
      <c r="B17" s="5">
        <f>VALUE(FILTERXML($B$14,"//outputs/price_t_minus_1"))</f>
        <v/>
      </c>
      <c r="C17" s="7" t="n">
        <v>1423.850543081</v>
      </c>
      <c r="D17" s="7" t="inlineStr">
        <is>
          <t>Expected</t>
        </is>
      </c>
    </row>
    <row r="18">
      <c r="A18" s="3" t="inlineStr">
        <is>
          <t>Price t</t>
        </is>
      </c>
      <c r="B18" s="5">
        <f>VALUE(FILTERXML($B$14,"//outputs/price_t"))</f>
        <v/>
      </c>
      <c r="C18" s="7" t="n">
        <v>2989.673408685</v>
      </c>
      <c r="D18" s="7" t="inlineStr">
        <is>
          <t>Expected</t>
        </is>
      </c>
    </row>
    <row r="19">
      <c r="A19" s="3" t="inlineStr">
        <is>
          <t>Actual PnL</t>
        </is>
      </c>
      <c r="B19" s="5">
        <f>VALUE(FILTERXML($B$14,"//outputs/actual_pnl"))</f>
        <v/>
      </c>
      <c r="C19" s="7" t="n">
        <v>1565.822865604</v>
      </c>
      <c r="D19" s="7" t="inlineStr">
        <is>
          <t>Expected</t>
        </is>
      </c>
    </row>
    <row r="20">
      <c r="A20" s="3" t="inlineStr">
        <is>
          <t>Delta PnL</t>
        </is>
      </c>
      <c r="B20" s="5">
        <f>VALUE(FILTERXML($B$14,"//outputs/delta_pnl"))</f>
        <v/>
      </c>
      <c r="C20" s="7" t="n">
        <v>804.178231041</v>
      </c>
      <c r="D20" s="7" t="inlineStr">
        <is>
          <t>Expected</t>
        </is>
      </c>
    </row>
    <row r="21">
      <c r="A21" s="3" t="inlineStr">
        <is>
          <t>Gamma PnL</t>
        </is>
      </c>
      <c r="B21" s="5">
        <f>VALUE(FILTERXML($B$14,"//outputs/gamma_pnl"))</f>
        <v/>
      </c>
      <c r="C21" s="7" t="n">
        <v>162.98430088</v>
      </c>
      <c r="D21" s="7" t="inlineStr">
        <is>
          <t>Expected</t>
        </is>
      </c>
    </row>
    <row r="22">
      <c r="A22" s="3" t="inlineStr">
        <is>
          <t>Vega PnL</t>
        </is>
      </c>
      <c r="B22" s="5">
        <f>VALUE(FILTERXML($B$14,"//outputs/vega_pnl"))</f>
        <v/>
      </c>
      <c r="C22" s="7" t="n">
        <v>457.137474045</v>
      </c>
      <c r="D22" s="7" t="inlineStr">
        <is>
          <t>Expected</t>
        </is>
      </c>
    </row>
    <row r="23">
      <c r="A23" s="3" t="inlineStr">
        <is>
          <t>Theta PnL</t>
        </is>
      </c>
      <c r="B23" s="5">
        <f>VALUE(FILTERXML($B$14,"//outputs/theta_pnl"))</f>
        <v/>
      </c>
      <c r="C23" s="7" t="n">
        <v>-26.181325921</v>
      </c>
      <c r="D23" s="7" t="inlineStr">
        <is>
          <t>Expected</t>
        </is>
      </c>
    </row>
    <row r="24">
      <c r="A24" s="3" t="inlineStr">
        <is>
          <t>Rho PnL</t>
        </is>
      </c>
      <c r="B24" s="5">
        <f>VALUE(FILTERXML($B$14,"//outputs/rho_pnl"))</f>
        <v/>
      </c>
      <c r="C24" s="7" t="n">
        <v>0</v>
      </c>
      <c r="D24" s="7" t="inlineStr">
        <is>
          <t>Expected</t>
        </is>
      </c>
    </row>
    <row r="25">
      <c r="A25" s="3" t="inlineStr">
        <is>
          <t>Vanna PnL</t>
        </is>
      </c>
      <c r="B25" s="5">
        <f>VALUE(FILTERXML($B$14,"//outputs/vanna_pnl"))</f>
        <v/>
      </c>
      <c r="C25" s="7" t="n">
        <v>0</v>
      </c>
      <c r="D25" s="7" t="inlineStr">
        <is>
          <t>Expected</t>
        </is>
      </c>
    </row>
    <row r="26">
      <c r="A26" s="3" t="inlineStr">
        <is>
          <t>Volga PnL</t>
        </is>
      </c>
      <c r="B26" s="5">
        <f>VALUE(FILTERXML($B$14,"//outputs/volga_pnl"))</f>
        <v/>
      </c>
      <c r="C26" s="7" t="n">
        <v>0</v>
      </c>
      <c r="D26" s="7" t="inlineStr">
        <is>
          <t>Expected</t>
        </is>
      </c>
    </row>
    <row r="27">
      <c r="A27" s="3" t="inlineStr">
        <is>
          <t>Explained PnL</t>
        </is>
      </c>
      <c r="B27" s="5">
        <f>VALUE(FILTERXML($B$14,"//outputs/explained_pnl"))</f>
        <v/>
      </c>
      <c r="C27" s="7" t="n">
        <v>1398.118680045</v>
      </c>
      <c r="D27" s="7" t="inlineStr">
        <is>
          <t>Expected</t>
        </is>
      </c>
    </row>
    <row r="28">
      <c r="A28" s="3" t="inlineStr">
        <is>
          <t>Residual PnL</t>
        </is>
      </c>
      <c r="B28" s="5">
        <f>VALUE(FILTERXML($B$14,"//outputs/residual_pnl"))</f>
        <v/>
      </c>
      <c r="C28" s="7" t="n">
        <v>167.704185559</v>
      </c>
      <c r="D28" s="7" t="inlineStr">
        <is>
          <t>Expected</t>
        </is>
      </c>
    </row>
    <row r="30">
      <c r="A30" s="7" t="inlineStr">
        <is>
          <t>Note: Vanna/Volga are zero because cross_greeks=false by default. Add &amp;cross_greeks=true to the URL to enable.</t>
        </is>
      </c>
    </row>
  </sheetData>
  <mergeCells count="5">
    <mergeCell ref="A30:E30"/>
    <mergeCell ref="A16:E16"/>
    <mergeCell ref="A1:E1"/>
    <mergeCell ref="A3:C3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2026-04-22T00:06:52Z</dcterms:created>
  <dcterms:modified xsi:type="dcterms:W3CDTF">2026-04-22T00:06:52Z</dcterms:modified>
</cp:coreProperties>
</file>